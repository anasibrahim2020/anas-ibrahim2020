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طابقة الشهرية" sheetId="1" state="visible" r:id="rId1"/>
    <sheet name="تكوين رصيد الافتتاح" sheetId="2" state="visible" r:id="rId2"/>
    <sheet name="قيود التصحيح (Misc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6100"/>
    </font>
    <font>
      <b val="1"/>
      <color rgb="001F4E78"/>
      <sz val="13"/>
    </font>
    <font>
      <i val="1"/>
      <sz val="10"/>
    </font>
    <font>
      <b val="1"/>
      <color rgb="001F4E78"/>
      <sz val="12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6" customWidth="1" min="4" max="4"/>
    <col width="15" customWidth="1" min="5" max="5"/>
    <col width="12" customWidth="1" min="6" max="6"/>
    <col width="10" customWidth="1" min="7" max="7"/>
  </cols>
  <sheetData>
    <row r="1">
      <c r="A1" s="1" t="inlineStr">
        <is>
          <t>QIB 207 — المطابقة الثلاثية الشهرية (البنك = GL = Dashboard)</t>
        </is>
      </c>
    </row>
    <row r="3">
      <c r="A3" s="2" t="inlineStr">
        <is>
          <t>الشهر</t>
        </is>
      </c>
      <c r="B3" s="2" t="inlineStr">
        <is>
          <t>رصيد أول المدة</t>
        </is>
      </c>
      <c r="C3" s="2" t="inlineStr">
        <is>
          <t>حركة الشهر (البنك)</t>
        </is>
      </c>
      <c r="D3" s="2" t="inlineStr">
        <is>
          <t>رصيد آخر المدة</t>
        </is>
      </c>
      <c r="E3" s="2">
        <f> رصيد البنك الورقي؟</f>
        <v/>
      </c>
      <c r="F3" s="2">
        <f> GL؟</f>
        <v/>
      </c>
      <c r="G3" s="2" t="inlineStr">
        <is>
          <t>متوازن</t>
        </is>
      </c>
    </row>
    <row r="4">
      <c r="A4" s="3" t="inlineStr">
        <is>
          <t>QIB 207 - كشف مايو 2026 (افتتاح 07/05)</t>
        </is>
      </c>
      <c r="B4" s="4" t="n">
        <v>1205196.89</v>
      </c>
      <c r="C4" s="4" t="n">
        <v>-728283.4199999999</v>
      </c>
      <c r="D4" s="4" t="n">
        <v>476913.47</v>
      </c>
      <c r="E4" s="3" t="inlineStr">
        <is>
          <t>✔ مطابق</t>
        </is>
      </c>
      <c r="F4" s="3" t="inlineStr">
        <is>
          <t>✔ مطابق</t>
        </is>
      </c>
      <c r="G4" s="5" t="inlineStr">
        <is>
          <t>✔</t>
        </is>
      </c>
    </row>
    <row r="5">
      <c r="A5" s="3" t="inlineStr">
        <is>
          <t>QIB 207 - كشف يونيو 2026</t>
        </is>
      </c>
      <c r="B5" s="4" t="n">
        <v>476913.47</v>
      </c>
      <c r="C5" s="4" t="n">
        <v>126459.1800000001</v>
      </c>
      <c r="D5" s="4" t="n">
        <v>603372.65</v>
      </c>
      <c r="E5" s="3" t="inlineStr">
        <is>
          <t>✔ مطابق</t>
        </is>
      </c>
      <c r="F5" s="3" t="inlineStr">
        <is>
          <t>✔ مطابق</t>
        </is>
      </c>
      <c r="G5" s="5" t="inlineStr">
        <is>
          <t>✔</t>
        </is>
      </c>
    </row>
    <row r="6">
      <c r="A6" s="3" t="inlineStr">
        <is>
          <t>QIB 207 - كشف يوليو 2026</t>
        </is>
      </c>
      <c r="B6" s="4" t="n">
        <v>603372.65</v>
      </c>
      <c r="C6" s="4" t="n">
        <v>989157.38</v>
      </c>
      <c r="D6" s="4" t="n">
        <v>1592530.03</v>
      </c>
      <c r="E6" s="3" t="inlineStr">
        <is>
          <t>✔ مطابق</t>
        </is>
      </c>
      <c r="F6" s="3" t="inlineStr">
        <is>
          <t>✔ مطابق</t>
        </is>
      </c>
      <c r="G6" s="5" t="inlineStr">
        <is>
          <t>✔</t>
        </is>
      </c>
    </row>
    <row r="7">
      <c r="A7" s="3" t="inlineStr">
        <is>
          <t>QIB 207 - كشف أغسطس 2026</t>
        </is>
      </c>
      <c r="B7" s="4" t="n">
        <v>1592530.03</v>
      </c>
      <c r="C7" s="4" t="n">
        <v>-926657.85</v>
      </c>
      <c r="D7" s="4" t="n">
        <v>665872.1800000001</v>
      </c>
      <c r="E7" s="3" t="inlineStr">
        <is>
          <t>✔ مطابق</t>
        </is>
      </c>
      <c r="F7" s="3" t="inlineStr">
        <is>
          <t>✔ مطابق</t>
        </is>
      </c>
      <c r="G7" s="5" t="inlineStr">
        <is>
          <t>✔</t>
        </is>
      </c>
    </row>
    <row r="8">
      <c r="A8" s="3" t="inlineStr">
        <is>
          <t>QIB 207 - كشف سبتمبر 2026</t>
        </is>
      </c>
      <c r="B8" s="4" t="n">
        <v>665872.1800000001</v>
      </c>
      <c r="C8" s="4" t="n">
        <v>298164.0499999999</v>
      </c>
      <c r="D8" s="4" t="n">
        <v>964036.23</v>
      </c>
      <c r="E8" s="3" t="inlineStr">
        <is>
          <t>✔ مطابق</t>
        </is>
      </c>
      <c r="F8" s="3" t="inlineStr">
        <is>
          <t>✔ مطابق</t>
        </is>
      </c>
      <c r="G8" s="5" t="inlineStr">
        <is>
          <t>✔</t>
        </is>
      </c>
    </row>
    <row r="9">
      <c r="A9" s="3" t="inlineStr">
        <is>
          <t>QIB 207 - كشف أكتوبر 2026 (حتى 10/10)</t>
        </is>
      </c>
      <c r="B9" s="4" t="n">
        <v>964036.23</v>
      </c>
      <c r="C9" s="4" t="n">
        <v>-532334.54</v>
      </c>
      <c r="D9" s="4" t="n">
        <v>431701.69</v>
      </c>
      <c r="E9" s="3" t="inlineStr">
        <is>
          <t>✔ مطابق</t>
        </is>
      </c>
      <c r="F9" s="3" t="inlineStr">
        <is>
          <t>✔ مطابق</t>
        </is>
      </c>
      <c r="G9" s="5" t="inlineStr">
        <is>
          <t>✔</t>
        </is>
      </c>
    </row>
    <row r="11">
      <c r="A11" s="6" t="inlineStr">
        <is>
          <t>الختام النهائي حتى 10/10/2026 = 431,701.69  —  يساوي البنك = GL = Dashboard Balance = Last Statement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  <col width="40" customWidth="1" min="4" max="4"/>
  </cols>
  <sheetData>
    <row r="1">
      <c r="A1" s="7" t="inlineStr">
        <is>
          <t>رصيد بداية كشف مايو = 1,205,196.89 — تفصيله بالأدلة</t>
        </is>
      </c>
    </row>
    <row r="3">
      <c r="A3" s="8" t="inlineStr">
        <is>
          <t>البند</t>
        </is>
      </c>
      <c r="B3" s="8" t="inlineStr">
        <is>
          <t>المبلغ</t>
        </is>
      </c>
      <c r="C3" s="8" t="inlineStr">
        <is>
          <t>المرجع</t>
        </is>
      </c>
      <c r="D3" s="8" t="inlineStr">
        <is>
          <t>ملاحظة</t>
        </is>
      </c>
    </row>
    <row r="4">
      <c r="A4" s="3" t="inlineStr">
        <is>
          <t>الافتتاح المؤكّد (إقفال 06/05/2026)</t>
        </is>
      </c>
      <c r="B4" s="4" t="n">
        <v>981746.58</v>
      </c>
      <c r="C4" s="3" t="inlineStr">
        <is>
          <t>Move 34200 / FULLPAYOUT 06-MAY</t>
        </is>
      </c>
      <c r="D4" s="3" t="inlineStr">
        <is>
          <t>مطابق لرصيد البنك الورقي 06/05 تماماً</t>
        </is>
      </c>
    </row>
    <row r="5">
      <c r="A5" s="3" t="inlineStr">
        <is>
          <t>+ 5 سطور ما قبل الافتتاح محمّلة بالدفتر</t>
        </is>
      </c>
      <c r="B5" s="4" t="n">
        <v>223450.31</v>
      </c>
      <c r="C5" s="3" t="inlineStr">
        <is>
          <t>QIB/00001,00002,00874-876</t>
        </is>
      </c>
      <c r="D5" s="3" t="inlineStr">
        <is>
          <t>حركات 04-06 مايو مُدمجة أصلاً داخل الافتتاح</t>
        </is>
      </c>
    </row>
    <row r="6">
      <c r="A6" s="3">
        <f> رصيد بداية الكشف</f>
        <v/>
      </c>
      <c r="B6" s="4" t="n">
        <v>1205196.89</v>
      </c>
      <c r="C6" s="3" t="inlineStr"/>
      <c r="D6" s="3">
        <f> الافتتاح + السطور المحمّلة</f>
        <v/>
      </c>
    </row>
    <row r="8" ht="46" customHeight="1">
      <c r="A8" s="9" t="inlineStr">
        <is>
          <t>تفصيل الـ5 سطور: 3 سطور (−20,171) على 100001 معكوسة بالكامل (محايدة على GL) ؛ سطران (−203,279.31) على الكود القديم 100008 (مش على 100001) — لا يؤثران على رصيد 431,701.69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46" customWidth="1" min="4" max="4"/>
  </cols>
  <sheetData>
    <row r="1">
      <c r="A1" s="10" t="inlineStr">
        <is>
          <t>قيود التصحيح على البنك (تظهر كـ Misc Operations) — موثّقة، لا تؤثر على الرصيد</t>
        </is>
      </c>
    </row>
    <row r="3">
      <c r="A3" s="8" t="inlineStr">
        <is>
          <t>التاريخ</t>
        </is>
      </c>
      <c r="B3" s="8" t="inlineStr">
        <is>
          <t>المبلغ</t>
        </is>
      </c>
      <c r="C3" s="8" t="inlineStr">
        <is>
          <t>القيد</t>
        </is>
      </c>
      <c r="D3" s="8" t="inlineStr">
        <is>
          <t>البيان</t>
        </is>
      </c>
    </row>
    <row r="4">
      <c r="A4" s="3" t="inlineStr">
        <is>
          <t>2026-05-03</t>
        </is>
      </c>
      <c r="B4" s="4" t="n">
        <v>12000</v>
      </c>
      <c r="C4" s="3" t="inlineStr">
        <is>
          <t>MISC/2026/05/0100 (SLX-QIB-OPENADJ MISC/2026/05/0009)</t>
        </is>
      </c>
      <c r="D4" s="3" t="inlineStr">
        <is>
          <t>عكس خصم بنك مزدوج (تحويل داخلي لـ Liquidity)</t>
        </is>
      </c>
    </row>
    <row r="5">
      <c r="A5" s="3" t="inlineStr">
        <is>
          <t>2026-05-03</t>
        </is>
      </c>
      <c r="B5" s="4" t="n">
        <v>-12000</v>
      </c>
      <c r="C5" s="3" t="inlineStr">
        <is>
          <t>MISC/2026/05/0009</t>
        </is>
      </c>
      <c r="D5" s="3" t="inlineStr"/>
    </row>
    <row r="6">
      <c r="A6" s="3" t="inlineStr">
        <is>
          <t>2026-05-05</t>
        </is>
      </c>
      <c r="B6" s="4" t="n">
        <v>12000</v>
      </c>
      <c r="C6" s="3" t="inlineStr">
        <is>
          <t>MISC/2026/05/0101 (SLX-QIB-OPENADJ MISC/2026/05/0042)</t>
        </is>
      </c>
      <c r="D6" s="3" t="inlineStr">
        <is>
          <t>عكس خصم بنك مزدوج (دفع إيجار)</t>
        </is>
      </c>
    </row>
    <row r="7">
      <c r="A7" s="3" t="inlineStr">
        <is>
          <t>2026-05-05</t>
        </is>
      </c>
      <c r="B7" s="4" t="n">
        <v>-12000</v>
      </c>
      <c r="C7" s="3" t="inlineStr">
        <is>
          <t>MISC/2026/05/0042</t>
        </is>
      </c>
      <c r="D7" s="3" t="inlineStr">
        <is>
          <t>Being Payment from QNB Bank A/c 007 to Office Rent (Souq Al Ali) Month of May 2026, chq.# 00000262</t>
        </is>
      </c>
    </row>
    <row r="8">
      <c r="A8" s="3" t="inlineStr">
        <is>
          <t>2026-05-07</t>
        </is>
      </c>
      <c r="B8" s="4" t="n">
        <v>981746.58</v>
      </c>
      <c r="C8" s="3" t="inlineStr">
        <is>
          <t>MISC/2026/05/0053 (Transfer entry to 100001 QIB Bank)</t>
        </is>
      </c>
      <c r="D8" s="3" t="inlineStr">
        <is>
          <t>Transfer from 101101 QIB - UM-QIB-0110351760207</t>
        </is>
      </c>
    </row>
    <row r="9">
      <c r="A9" s="3" t="inlineStr">
        <is>
          <t>2026-06-24</t>
        </is>
      </c>
      <c r="B9" s="4" t="n">
        <v>500000</v>
      </c>
      <c r="C9" s="3" t="inlineStr">
        <is>
          <t>MISC/2026/06/0068 (SLX-QIB207-500K QNB-&gt;QIB (FT26175BL6F3))</t>
        </is>
      </c>
      <c r="D9" s="3" t="inlineStr">
        <is>
          <t>Inward transfer from QNB 007 (FT26175BL6F3) - QIB 207 leg</t>
        </is>
      </c>
    </row>
    <row r="10">
      <c r="A10" s="3" t="inlineStr">
        <is>
          <t>2026-10-02</t>
        </is>
      </c>
      <c r="B10" s="4" t="n">
        <v>-20</v>
      </c>
      <c r="C10" s="3" t="inlineStr">
        <is>
          <t>MISC/2026/10/0008</t>
        </is>
      </c>
      <c r="D10" s="3" t="inlineStr"/>
    </row>
    <row r="11">
      <c r="A11" s="3" t="inlineStr">
        <is>
          <t>2026-10-02</t>
        </is>
      </c>
      <c r="B11" s="4" t="n">
        <v>-20</v>
      </c>
      <c r="C11" s="3" t="inlineStr">
        <is>
          <t>MISC/2026/10/0007</t>
        </is>
      </c>
      <c r="D11" s="3" t="inlineStr"/>
    </row>
    <row r="12">
      <c r="A12" s="3" t="inlineStr">
        <is>
          <t>2026-10-06</t>
        </is>
      </c>
      <c r="B12" s="4" t="n">
        <v>62336.52</v>
      </c>
      <c r="C12" s="3" t="inlineStr">
        <is>
          <t>MISC/2026/10/0336 (SLX-QIB-REVIEW)</t>
        </is>
      </c>
      <c r="D12" s="3" t="inlineStr">
        <is>
          <t>فرق مطابقة QIB قيد المراجعة (فروق توقيت/رسوم POS - يحتاج مستندات)</t>
        </is>
      </c>
    </row>
    <row r="13">
      <c r="A13" s="3" t="inlineStr">
        <is>
          <t>2026-10-07</t>
        </is>
      </c>
      <c r="B13" s="4" t="n">
        <v>7558</v>
      </c>
      <c r="C13" s="3" t="inlineStr">
        <is>
          <t>MISC/2026/10/0342 (SLX-QIB-RESIDUAL)</t>
        </is>
      </c>
      <c r="D13" s="3" t="inlineStr">
        <is>
          <t>تسوية فرق مطابقة بنك QIB قيد المراجعة</t>
        </is>
      </c>
    </row>
    <row r="14">
      <c r="A14" s="3" t="inlineStr">
        <is>
          <t>2026-10-11</t>
        </is>
      </c>
      <c r="B14" s="4" t="n">
        <v>69894.52</v>
      </c>
      <c r="C14" s="3" t="inlineStr">
        <is>
          <t>MISC/2026/10/0607 (Reversal of: MISC/2026/10/0393, SLX revert - [...])</t>
        </is>
      </c>
      <c r="D14" s="3" t="inlineStr">
        <is>
          <t>عكس plug خاطئ على بنك QIB 207 (REVIEW+RESIDUAL)</t>
        </is>
      </c>
    </row>
    <row r="15">
      <c r="A15" s="3" t="inlineStr">
        <is>
          <t>2026-10-11</t>
        </is>
      </c>
      <c r="B15" s="4" t="n">
        <v>-7558</v>
      </c>
      <c r="C15" s="3" t="inlineStr">
        <is>
          <t>MISC/2026/10/0606 (Reversal of: MISC/2026/10/0342, SLX revert - [...])</t>
        </is>
      </c>
      <c r="D15" s="3" t="inlineStr">
        <is>
          <t>تسوية فرق مطابقة بنك QIB قيد المراجعة</t>
        </is>
      </c>
    </row>
    <row r="16">
      <c r="A16" s="3" t="inlineStr">
        <is>
          <t>2026-10-11</t>
        </is>
      </c>
      <c r="B16" s="4" t="n">
        <v>-62336.52</v>
      </c>
      <c r="C16" s="3" t="inlineStr">
        <is>
          <t>MISC/2026/10/0605 (Reversal of: MISC/2026/10/0336, SLX revert - [...])</t>
        </is>
      </c>
      <c r="D16" s="3" t="inlineStr">
        <is>
          <t>فرق مطابقة QIB قيد المراجعة (فروق توقيت/رسوم POS - يحتاج مستندات)</t>
        </is>
      </c>
    </row>
    <row r="17">
      <c r="A17" s="3" t="inlineStr">
        <is>
          <t>2026-10-11</t>
        </is>
      </c>
      <c r="B17" s="4" t="n">
        <v>-500000</v>
      </c>
      <c r="C17" s="3" t="inlineStr">
        <is>
          <t>MISC/2026/10/0604 (Reversal of: MISC/2026/06/0068, SLX revert - [...])</t>
        </is>
      </c>
      <c r="D17" s="3" t="inlineStr">
        <is>
          <t>Inward transfer from QNB 007 (FT26175BL6F3) - QIB 207 leg</t>
        </is>
      </c>
    </row>
    <row r="18">
      <c r="A18" s="3" t="inlineStr">
        <is>
          <t>2026-10-11</t>
        </is>
      </c>
      <c r="B18" s="4" t="n">
        <v>-69894.52</v>
      </c>
      <c r="C18" s="3" t="inlineStr">
        <is>
          <t>MISC/2026/10/0393 (SLX-QIB-PLUG-REVERSAL)</t>
        </is>
      </c>
      <c r="D18" s="3" t="inlineStr">
        <is>
          <t>عكس plug خاطئ على بنك QIB 207 (REVIEW+RESIDUAL)</t>
        </is>
      </c>
    </row>
    <row r="19">
      <c r="A19" s="3" t="inlineStr">
        <is>
          <t>2026-10-12</t>
        </is>
      </c>
      <c r="B19" s="4" t="n">
        <v>10981</v>
      </c>
      <c r="C19" s="3" t="inlineStr">
        <is>
          <t>QIB/2026/01133 (Reversal of: QIB/2026/00876, تصحيح الافتتاح [...])</t>
        </is>
      </c>
      <c r="D19" s="3" t="inlineStr">
        <is>
          <t>Outward QATCH Transfer Service Fees and Charges Pa</t>
        </is>
      </c>
    </row>
    <row r="20">
      <c r="A20" s="3" t="inlineStr">
        <is>
          <t>2026-10-12</t>
        </is>
      </c>
      <c r="B20" s="4" t="n">
        <v>3980</v>
      </c>
      <c r="C20" s="3" t="inlineStr">
        <is>
          <t>QIB/2026/01132 (Reversal of: QIB/2026/00875, تصحيح الافتتاح [...])</t>
        </is>
      </c>
      <c r="D20" s="3" t="inlineStr">
        <is>
          <t>Outward QATCH Transfer Service Fees and Charges Pa</t>
        </is>
      </c>
    </row>
    <row r="21">
      <c r="A21" s="3" t="inlineStr">
        <is>
          <t>2026-10-12</t>
        </is>
      </c>
      <c r="B21" s="4" t="n">
        <v>5210</v>
      </c>
      <c r="C21" s="3" t="inlineStr">
        <is>
          <t>QIB/2026/01131 (Reversal of: QIB/2026/00874, تصحيح الافتتاح [...])</t>
        </is>
      </c>
      <c r="D21" s="3" t="inlineStr">
        <is>
          <t>Outward QATCH Transfer Service Fees and Charges Pa</t>
        </is>
      </c>
    </row>
    <row r="22">
      <c r="A22" s="3" t="inlineStr">
        <is>
          <t>2026-10-12</t>
        </is>
      </c>
      <c r="B22" s="4" t="n">
        <v>20</v>
      </c>
      <c r="C22" s="3" t="inlineStr">
        <is>
          <t>MISC/2026/10/0622 (Reversal of: MISC/2026/10/0008, إزالة قيود [...])</t>
        </is>
      </c>
      <c r="D22" s="3" t="inlineStr"/>
    </row>
    <row r="23">
      <c r="A23" s="3" t="inlineStr">
        <is>
          <t>2026-10-12</t>
        </is>
      </c>
      <c r="B23" s="4" t="n">
        <v>20</v>
      </c>
      <c r="C23" s="3" t="inlineStr">
        <is>
          <t>MISC/2026/10/0621 (Reversal of: MISC/2026/10/0007, إزالة قيود [...])</t>
        </is>
      </c>
      <c r="D23" s="3" t="inlineStr"/>
    </row>
    <row r="25">
      <c r="A25" s="11" t="inlineStr">
        <is>
          <t>إجمالي قيود التصحيح = جزء من الـ GL البالغ 431,701.69 (مش مكرر) — المحاسب يراجع البيان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2026-10-12T01:47:45Z</dcterms:created>
  <dcterms:modified xsi:type="dcterms:W3CDTF">2026-10-12T01:47:45Z</dcterms:modified>
</cp:coreProperties>
</file>