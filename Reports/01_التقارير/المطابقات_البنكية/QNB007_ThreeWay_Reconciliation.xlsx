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طابقة الثلاثية" sheetId="1" state="visible" r:id="rId1"/>
    <sheet name="المطابقة الشهرية الثلاث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F3A"/>
      <sz val="14"/>
    </font>
    <font>
      <b val="1"/>
      <color rgb="00FFFFFF"/>
      <sz val="11"/>
    </font>
    <font>
      <b val="1"/>
      <color rgb="007B1F3A"/>
      <sz val="12"/>
    </font>
    <font>
      <i val="1"/>
      <sz val="10"/>
    </font>
    <font>
      <i val="1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7B1F3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4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</cols>
  <sheetData>
    <row r="1">
      <c r="A1" s="1" t="inlineStr">
        <is>
          <t>QNB 007 — المطابقة الثلاثية (البنك = GL = Dashboard)</t>
        </is>
      </c>
    </row>
    <row r="3">
      <c r="A3" s="2" t="inlineStr">
        <is>
          <t>المصدر</t>
        </is>
      </c>
      <c r="B3" s="2" t="inlineStr">
        <is>
          <t>القيمة</t>
        </is>
      </c>
      <c r="C3" s="2" t="inlineStr">
        <is>
          <t>الحالة</t>
        </is>
      </c>
    </row>
    <row r="4">
      <c r="A4" s="3" t="inlineStr">
        <is>
          <t>كشف حساب البنك QNB 007 (الأساس)</t>
        </is>
      </c>
      <c r="B4" s="3" t="inlineStr">
        <is>
          <t>7,098,603.35</t>
        </is>
      </c>
      <c r="C4" s="4" t="inlineStr">
        <is>
          <t>المرجع</t>
        </is>
      </c>
    </row>
    <row r="5">
      <c r="A5" s="3" t="inlineStr">
        <is>
          <t>دفتر الأستاذ GL (حساب 101007)</t>
        </is>
      </c>
      <c r="B5" s="3" t="inlineStr">
        <is>
          <t>7098603.35</t>
        </is>
      </c>
      <c r="C5" s="4" t="inlineStr">
        <is>
          <t>مطابق ✔</t>
        </is>
      </c>
    </row>
    <row r="6">
      <c r="A6" s="3" t="inlineStr">
        <is>
          <t>Dashboard — Balance (account_balance)</t>
        </is>
      </c>
      <c r="B6" s="3" t="inlineStr">
        <is>
          <t>7,098,603.35 QR</t>
        </is>
      </c>
      <c r="C6" s="4" t="inlineStr">
        <is>
          <t>مطابق ✔</t>
        </is>
      </c>
    </row>
    <row r="7">
      <c r="A7" s="3" t="inlineStr">
        <is>
          <t>Dashboard — Last Statement</t>
        </is>
      </c>
      <c r="B7" s="3" t="inlineStr">
        <is>
          <t>7,098,603.35 QR</t>
        </is>
      </c>
      <c r="C7" s="4" t="inlineStr">
        <is>
          <t>مطابق ✔</t>
        </is>
      </c>
    </row>
    <row r="8">
      <c r="A8" s="3" t="inlineStr">
        <is>
          <t>Misc Operations</t>
        </is>
      </c>
      <c r="B8" s="3" t="inlineStr">
        <is>
          <t>0.00 QR</t>
        </is>
      </c>
      <c r="C8" s="4" t="inlineStr">
        <is>
          <t>نظيف ✔</t>
        </is>
      </c>
    </row>
    <row r="9">
      <c r="A9" s="3" t="inlineStr">
        <is>
          <t>مطابقة سطر-بسطر</t>
        </is>
      </c>
      <c r="B9" s="3" t="inlineStr">
        <is>
          <t>610 / 610</t>
        </is>
      </c>
      <c r="C9" s="4" t="inlineStr">
        <is>
          <t>مطابق ✔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30" customWidth="1" min="4" max="4"/>
    <col width="10" customWidth="1" min="5" max="5"/>
    <col width="8" customWidth="1" min="6" max="6"/>
  </cols>
  <sheetData>
    <row r="1">
      <c r="A1" s="5" t="inlineStr">
        <is>
          <t>المطابقة الشهرية الثلاثية — كل شهر: البنك = GL = Dashboard</t>
        </is>
      </c>
    </row>
    <row r="3">
      <c r="A3" s="6" t="inlineStr">
        <is>
          <t>الشهر</t>
        </is>
      </c>
      <c r="B3" s="6" t="inlineStr">
        <is>
          <t>رصيد أول المدة</t>
        </is>
      </c>
      <c r="C3" s="6" t="inlineStr">
        <is>
          <t>حركة الشهر</t>
        </is>
      </c>
      <c r="D3" s="6" t="inlineStr">
        <is>
          <t>رصيد آخر المدة (البنك=GL=Dashboard)</t>
        </is>
      </c>
      <c r="E3" s="6">
        <f> البنك؟</f>
        <v/>
      </c>
      <c r="F3" s="6" t="inlineStr">
        <is>
          <t>متوازن</t>
        </is>
      </c>
    </row>
    <row r="4">
      <c r="A4" s="3" t="inlineStr">
        <is>
          <t>مايو 2026</t>
        </is>
      </c>
      <c r="B4" s="7" t="n">
        <v>4694440.37</v>
      </c>
      <c r="C4" s="7" t="n">
        <v>808174</v>
      </c>
      <c r="D4" s="7" t="n">
        <v>5502614.37</v>
      </c>
      <c r="E4" s="8" t="inlineStr">
        <is>
          <t>✔ مطابق</t>
        </is>
      </c>
      <c r="F4" s="8" t="inlineStr">
        <is>
          <t>✔</t>
        </is>
      </c>
    </row>
    <row r="5">
      <c r="A5" s="3" t="inlineStr">
        <is>
          <t>يونيو 2026</t>
        </is>
      </c>
      <c r="B5" s="7" t="n">
        <v>5502614.37</v>
      </c>
      <c r="C5" s="7" t="n">
        <v>-40879</v>
      </c>
      <c r="D5" s="7" t="n">
        <v>5461735.37</v>
      </c>
      <c r="E5" s="8" t="inlineStr">
        <is>
          <t>✔ مطابق</t>
        </is>
      </c>
      <c r="F5" s="8" t="inlineStr">
        <is>
          <t>✔</t>
        </is>
      </c>
    </row>
    <row r="6">
      <c r="A6" s="3" t="inlineStr">
        <is>
          <t>يوليو 2026</t>
        </is>
      </c>
      <c r="B6" s="7" t="n">
        <v>5461735.37</v>
      </c>
      <c r="C6" s="7" t="n">
        <v>658909</v>
      </c>
      <c r="D6" s="7" t="n">
        <v>6120644.37</v>
      </c>
      <c r="E6" s="8" t="inlineStr">
        <is>
          <t>✔ مطابق</t>
        </is>
      </c>
      <c r="F6" s="8" t="inlineStr">
        <is>
          <t>✔</t>
        </is>
      </c>
    </row>
    <row r="7">
      <c r="A7" s="3" t="inlineStr">
        <is>
          <t>أغسطس 2026</t>
        </is>
      </c>
      <c r="B7" s="7" t="n">
        <v>6120644.37</v>
      </c>
      <c r="C7" s="7" t="n">
        <v>583990</v>
      </c>
      <c r="D7" s="7" t="n">
        <v>6704634.37</v>
      </c>
      <c r="E7" s="8" t="inlineStr">
        <is>
          <t>✔ مطابق</t>
        </is>
      </c>
      <c r="F7" s="8" t="inlineStr">
        <is>
          <t>✔</t>
        </is>
      </c>
    </row>
    <row r="8">
      <c r="A8" s="3" t="inlineStr">
        <is>
          <t>سبتمبر 2026</t>
        </is>
      </c>
      <c r="B8" s="7" t="n">
        <v>6704634.37</v>
      </c>
      <c r="C8" s="7" t="n">
        <v>620002</v>
      </c>
      <c r="D8" s="7" t="n">
        <v>7324636.37</v>
      </c>
      <c r="E8" s="8" t="inlineStr">
        <is>
          <t>✔ مطابق</t>
        </is>
      </c>
      <c r="F8" s="8" t="inlineStr">
        <is>
          <t>✔</t>
        </is>
      </c>
    </row>
    <row r="9">
      <c r="A9" s="3" t="inlineStr">
        <is>
          <t>أكتوبر 2026 (حتى 09/10)</t>
        </is>
      </c>
      <c r="B9" s="7" t="n">
        <v>7324636.37</v>
      </c>
      <c r="C9" s="7" t="n">
        <v>-226033.02</v>
      </c>
      <c r="D9" s="7" t="n">
        <v>7098603.35</v>
      </c>
      <c r="E9" s="8" t="inlineStr">
        <is>
          <t>✔ مطابق</t>
        </is>
      </c>
      <c r="F9" s="8" t="inlineStr">
        <is>
          <t>✔</t>
        </is>
      </c>
    </row>
    <row r="11">
      <c r="A11" s="9" t="inlineStr">
        <is>
          <t>البنك يطابق GL=Dashboard لكل شهر (مؤكّد بالمطابقة سطر-بسطر 610/610). الختام النهائي 7,098,603.35.</t>
        </is>
      </c>
    </row>
    <row r="12">
      <c r="A12" s="10" t="inlineStr">
        <is>
          <t>ملاحظة: Dashboard KPI = رصيد حساب GL 101007 (Odoo). سطور كشف journal-67 جزء من الحساب لوجود تحويلات بين حسابات QNB الفرعية.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2026-10-12T06:25:42Z</dcterms:created>
  <dcterms:modified xsi:type="dcterms:W3CDTF">2026-10-12T06:25:42Z</dcterms:modified>
</cp:coreProperties>
</file>